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83" documentId="8_{9FFB97A3-CFAA-4478-A377-388F42B319C6}" xr6:coauthVersionLast="47" xr6:coauthVersionMax="47" xr10:uidLastSave="{DF38A6F8-64EB-43F9-8FBD-51C0072B7CE6}"/>
  <bookViews>
    <workbookView xWindow="-108" yWindow="-108" windowWidth="23256" windowHeight="12456" xr2:uid="{4E0F6E0A-CAC8-4200-935A-CF6F2F72C4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4" i="1"/>
  <c r="M5" i="1"/>
  <c r="M6" i="1"/>
  <c r="M7" i="1"/>
  <c r="M8" i="1"/>
  <c r="M9" i="1"/>
  <c r="M10" i="1"/>
  <c r="M11" i="1"/>
  <c r="M12" i="1"/>
  <c r="M13" i="1"/>
  <c r="M14" i="1"/>
  <c r="M1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M2" i="1"/>
  <c r="M3" i="1"/>
  <c r="N2" i="1"/>
</calcChain>
</file>

<file path=xl/sharedStrings.xml><?xml version="1.0" encoding="utf-8"?>
<sst xmlns="http://schemas.openxmlformats.org/spreadsheetml/2006/main" count="55" uniqueCount="38">
  <si>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</si>
  <si>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</si>
  <si>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</si>
  <si>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</si>
  <si>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</si>
  <si>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</si>
  <si>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</si>
  <si>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</si>
  <si>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</si>
  <si>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</si>
  <si>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</si>
  <si>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</si>
  <si>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</si>
  <si>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</si>
  <si>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</si>
  <si>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</si>
  <si>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</si>
  <si>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</si>
  <si>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</si>
  <si>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</si>
  <si>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</si>
  <si>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</si>
  <si>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</si>
  <si>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</si>
  <si>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</si>
  <si>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</si>
  <si>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</si>
  <si>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</si>
  <si>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</si>
  <si>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</si>
  <si>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</si>
  <si>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</si>
  <si>
    <t>2026-02-23 -- 2:36 -- everything is set up.</t>
  </si>
  <si>
    <t>2026-02-24 -- 2:26 --</t>
  </si>
  <si>
    <t>aws-project-vault\01-url-shortener\screenshots</t>
  </si>
  <si>
    <t>In Progress</t>
  </si>
  <si>
    <t>2026-02-25 - 120 min - Project 2 Core path worked. / Security Enhancements</t>
  </si>
  <si>
    <t>aws-project-vault\02-file-backup-system\screenshots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</si>
</sst>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workbookViewId="0">
      <pane ySplit="1" topLeftCell="A2" activePane="bottomLeft" state="frozen"/>
      <selection pane="bottomLeft" activeCell="K9" sqref="K9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46.6640625" customWidth="1"/>
    <col min="9" max="9" width="33.44140625" customWidth="1"/>
    <col min="10" max="10" width="17.109375" customWidth="1"/>
    <col min="11" max="11" width="19.21875" customWidth="1"/>
    <col min="12" max="12" width="2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31</v>
      </c>
      <c r="K1" t="s">
        <v>10</v>
      </c>
      <c r="L1" t="s">
        <v>14</v>
      </c>
      <c r="M1" t="s">
        <v>15</v>
      </c>
      <c r="N1" t="s">
        <v>16</v>
      </c>
    </row>
    <row r="2" spans="1:14" x14ac:dyDescent="0.3">
      <c r="A2">
        <v>0</v>
      </c>
      <c r="B2" t="s">
        <v>11</v>
      </c>
      <c r="C2" t="s">
        <v>13</v>
      </c>
      <c r="D2">
        <v>50</v>
      </c>
      <c r="H2" t="s">
        <v>32</v>
      </c>
      <c r="I2" t="s">
        <v>30</v>
      </c>
      <c r="J2">
        <v>100</v>
      </c>
      <c r="L2" s="1" t="str">
        <f>IFERROR("Wk "&amp;TEXT(DATEVALUE(LEFT(H2,10)),"YYYY")&amp;"-"&amp;TEXT(DATEVALUE(LEFT(H2,10)),"WW"),"")</f>
        <v>Wk 2026-WW</v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0.4</v>
      </c>
    </row>
    <row r="3" spans="1:14" x14ac:dyDescent="0.3">
      <c r="A3">
        <v>1</v>
      </c>
      <c r="B3" t="s">
        <v>12</v>
      </c>
      <c r="C3" t="s">
        <v>13</v>
      </c>
      <c r="D3">
        <v>50</v>
      </c>
      <c r="G3" t="s">
        <v>9</v>
      </c>
      <c r="H3" t="s">
        <v>32</v>
      </c>
      <c r="I3" t="s">
        <v>30</v>
      </c>
      <c r="J3">
        <v>100</v>
      </c>
      <c r="L3" s="1" t="str">
        <f>IFERROR("Wk "&amp;TEXT(DATEVALUE(LEFT(H3,10)),"YYYY")&amp;"-"&amp;TEXT(DATEVALUE(LEFT(H3,10)),"WW"),"")</f>
        <v>Wk 2026-WW</v>
      </c>
      <c r="M3" s="1">
        <f ca="1">SUMIFS($D:$D,$H:$H,"&gt;="&amp;TODAY()-14,$H:$H,"&lt;="&amp;TODAY())</f>
        <v>0</v>
      </c>
      <c r="N3">
        <f t="shared" ref="N3:N15" si="0">IF(COUNTIF($C:$C,"&lt;&gt;")=0,"",COUNTIF($C:$C,"Done")/COUNTIF($C:$C,"&lt;&gt;"))</f>
        <v>0.4</v>
      </c>
    </row>
    <row r="4" spans="1:14" x14ac:dyDescent="0.3">
      <c r="A4">
        <v>2</v>
      </c>
      <c r="B4" t="s">
        <v>17</v>
      </c>
      <c r="C4" t="s">
        <v>13</v>
      </c>
      <c r="D4">
        <v>30</v>
      </c>
      <c r="H4" t="s">
        <v>32</v>
      </c>
      <c r="I4" t="s">
        <v>30</v>
      </c>
      <c r="J4">
        <v>100</v>
      </c>
      <c r="L4" s="1" t="str">
        <f t="shared" ref="L4:L15" si="1">IFERROR("Wk "&amp;TEXT(DATEVALUE(LEFT(H4,10)),"YYYY")&amp;"-"&amp;TEXT(DATEVALUE(LEFT(H4,10)),"WW"),"")</f>
        <v>Wk 2026-WW</v>
      </c>
      <c r="M4" s="1">
        <f t="shared" ref="M4:M15" ca="1" si="2">SUMIFS($D:$D,$H:$H,"&gt;="&amp;TODAY()-14,$H:$H,"&lt;="&amp;TODAY())</f>
        <v>0</v>
      </c>
      <c r="N4">
        <f t="shared" si="0"/>
        <v>0.4</v>
      </c>
    </row>
    <row r="5" spans="1:14" x14ac:dyDescent="0.3">
      <c r="A5">
        <v>3</v>
      </c>
      <c r="B5" t="s">
        <v>18</v>
      </c>
      <c r="C5" t="s">
        <v>13</v>
      </c>
      <c r="D5">
        <v>30</v>
      </c>
      <c r="H5" t="s">
        <v>32</v>
      </c>
      <c r="I5" t="s">
        <v>30</v>
      </c>
      <c r="J5">
        <v>100</v>
      </c>
      <c r="L5" s="1" t="str">
        <f t="shared" si="1"/>
        <v>Wk 2026-WW</v>
      </c>
      <c r="M5" s="1">
        <f t="shared" ca="1" si="2"/>
        <v>0</v>
      </c>
      <c r="N5">
        <f t="shared" si="0"/>
        <v>0.4</v>
      </c>
    </row>
    <row r="6" spans="1:14" x14ac:dyDescent="0.3">
      <c r="A6">
        <v>4</v>
      </c>
      <c r="B6" t="s">
        <v>20</v>
      </c>
      <c r="C6" t="s">
        <v>13</v>
      </c>
      <c r="D6">
        <v>83</v>
      </c>
      <c r="H6" t="s">
        <v>33</v>
      </c>
      <c r="I6" t="s">
        <v>34</v>
      </c>
      <c r="J6">
        <v>89</v>
      </c>
      <c r="L6" s="1" t="str">
        <f t="shared" si="1"/>
        <v>Wk 2026-WW</v>
      </c>
      <c r="M6" s="1">
        <f t="shared" ca="1" si="2"/>
        <v>0</v>
      </c>
      <c r="N6">
        <f t="shared" si="0"/>
        <v>0.4</v>
      </c>
    </row>
    <row r="7" spans="1:14" x14ac:dyDescent="0.3">
      <c r="A7">
        <v>5</v>
      </c>
      <c r="B7" t="s">
        <v>21</v>
      </c>
      <c r="C7" t="s">
        <v>13</v>
      </c>
      <c r="H7" t="s">
        <v>36</v>
      </c>
      <c r="I7" t="s">
        <v>37</v>
      </c>
      <c r="J7">
        <v>89</v>
      </c>
      <c r="L7" s="1" t="str">
        <f t="shared" si="1"/>
        <v>Wk 2026-WW</v>
      </c>
      <c r="M7" s="1">
        <f t="shared" ca="1" si="2"/>
        <v>0</v>
      </c>
      <c r="N7">
        <f t="shared" si="0"/>
        <v>0.4</v>
      </c>
    </row>
    <row r="8" spans="1:14" x14ac:dyDescent="0.3">
      <c r="A8">
        <v>6</v>
      </c>
      <c r="B8" t="s">
        <v>22</v>
      </c>
      <c r="C8" t="s">
        <v>35</v>
      </c>
      <c r="D8">
        <v>120</v>
      </c>
      <c r="L8" s="1" t="str">
        <f t="shared" si="1"/>
        <v/>
      </c>
      <c r="M8" s="1">
        <f t="shared" ca="1" si="2"/>
        <v>0</v>
      </c>
      <c r="N8">
        <f t="shared" si="0"/>
        <v>0.4</v>
      </c>
    </row>
    <row r="9" spans="1:14" x14ac:dyDescent="0.3">
      <c r="A9">
        <v>7</v>
      </c>
      <c r="B9" t="s">
        <v>23</v>
      </c>
      <c r="C9" t="s">
        <v>19</v>
      </c>
      <c r="L9" s="1" t="str">
        <f t="shared" si="1"/>
        <v/>
      </c>
      <c r="M9" s="1">
        <f t="shared" ca="1" si="2"/>
        <v>0</v>
      </c>
      <c r="N9">
        <f t="shared" si="0"/>
        <v>0.4</v>
      </c>
    </row>
    <row r="10" spans="1:14" x14ac:dyDescent="0.3">
      <c r="A10">
        <v>8</v>
      </c>
      <c r="B10" t="s">
        <v>24</v>
      </c>
      <c r="C10" t="s">
        <v>19</v>
      </c>
      <c r="L10" s="1" t="str">
        <f t="shared" si="1"/>
        <v/>
      </c>
      <c r="M10" s="1">
        <f t="shared" ca="1" si="2"/>
        <v>0</v>
      </c>
      <c r="N10">
        <f t="shared" si="0"/>
        <v>0.4</v>
      </c>
    </row>
    <row r="11" spans="1:14" x14ac:dyDescent="0.3">
      <c r="A11">
        <v>9</v>
      </c>
      <c r="B11" t="s">
        <v>25</v>
      </c>
      <c r="C11" t="s">
        <v>19</v>
      </c>
      <c r="L11" s="1" t="str">
        <f t="shared" si="1"/>
        <v/>
      </c>
      <c r="M11" s="1">
        <f t="shared" ca="1" si="2"/>
        <v>0</v>
      </c>
      <c r="N11">
        <f t="shared" si="0"/>
        <v>0.4</v>
      </c>
    </row>
    <row r="12" spans="1:14" x14ac:dyDescent="0.3">
      <c r="A12">
        <v>10</v>
      </c>
      <c r="B12" t="s">
        <v>26</v>
      </c>
      <c r="C12" t="s">
        <v>19</v>
      </c>
      <c r="L12" s="1" t="str">
        <f t="shared" si="1"/>
        <v/>
      </c>
      <c r="M12" s="1">
        <f t="shared" ca="1" si="2"/>
        <v>0</v>
      </c>
      <c r="N12">
        <f t="shared" si="0"/>
        <v>0.4</v>
      </c>
    </row>
    <row r="13" spans="1:14" x14ac:dyDescent="0.3">
      <c r="A13">
        <v>11</v>
      </c>
      <c r="B13" t="s">
        <v>27</v>
      </c>
      <c r="C13" t="s">
        <v>19</v>
      </c>
      <c r="L13" s="1" t="str">
        <f t="shared" si="1"/>
        <v/>
      </c>
      <c r="M13" s="1">
        <f t="shared" ca="1" si="2"/>
        <v>0</v>
      </c>
      <c r="N13">
        <f t="shared" si="0"/>
        <v>0.4</v>
      </c>
    </row>
    <row r="14" spans="1:14" x14ac:dyDescent="0.3">
      <c r="A14">
        <v>12</v>
      </c>
      <c r="B14" t="s">
        <v>28</v>
      </c>
      <c r="C14" t="s">
        <v>19</v>
      </c>
      <c r="L14" s="1" t="str">
        <f t="shared" si="1"/>
        <v/>
      </c>
      <c r="M14" s="1">
        <f t="shared" ca="1" si="2"/>
        <v>0</v>
      </c>
      <c r="N14">
        <f t="shared" si="0"/>
        <v>0.4</v>
      </c>
    </row>
    <row r="15" spans="1:14" x14ac:dyDescent="0.3">
      <c r="A15">
        <v>13</v>
      </c>
      <c r="B15" t="s">
        <v>29</v>
      </c>
      <c r="C15" t="s">
        <v>19</v>
      </c>
      <c r="L15" s="1" t="str">
        <f t="shared" si="1"/>
        <v/>
      </c>
      <c r="M15" s="1">
        <f t="shared" ca="1" si="2"/>
        <v>0</v>
      </c>
      <c r="N15">
        <f t="shared" si="0"/>
        <v>0.4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2026-02-26T21:23:53Z</dcterms:modified>
</cp:coreProperties>
</file>