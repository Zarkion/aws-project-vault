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94e94ce71b8319/Documents/aws-project-vault/tracker/"/>
    </mc:Choice>
  </mc:AlternateContent>
  <xr:revisionPtr revIDLastSave="162" documentId="8_{9FFB97A3-CFAA-4478-A377-388F42B319C6}" xr6:coauthVersionLast="47" xr6:coauthVersionMax="47" xr10:uidLastSave="{149BBE3B-9EDA-451F-B4C6-9CB20CBF1288}"/>
  <bookViews>
    <workbookView xWindow="-108" yWindow="-108" windowWidth="23256" windowHeight="12456" xr2:uid="{4E0F6E0A-CAC8-4200-935A-CF6F2F72C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L2" i="1"/>
  <c r="M2" i="1"/>
  <c r="M3" i="1"/>
  <c r="N2" i="1"/>
</calcChain>
</file>

<file path=xl/sharedStrings.xml><?xml version="1.0" encoding="utf-8"?>
<sst xmlns="http://schemas.openxmlformats.org/spreadsheetml/2006/main" count="52" uniqueCount="35">
  <si>
    <t>Module #</t>
  </si>
  <si>
    <t>Project Name</t>
  </si>
  <si>
    <t>Status (Not started / In Progress / Done)</t>
  </si>
  <si>
    <t>Time spent (min)</t>
  </si>
  <si>
    <t>Topics</t>
  </si>
  <si>
    <t>Resources</t>
  </si>
  <si>
    <t>Notes</t>
  </si>
  <si>
    <t>Habit-Checkin</t>
  </si>
  <si>
    <t>Proof links</t>
  </si>
  <si>
    <t>In Progress</t>
  </si>
  <si>
    <t>us-east-1</t>
  </si>
  <si>
    <t>Next action</t>
  </si>
  <si>
    <t>Start Here</t>
  </si>
  <si>
    <t>Setup &amp; Tools</t>
  </si>
  <si>
    <t>Done</t>
  </si>
  <si>
    <t>Week</t>
  </si>
  <si>
    <t>Velocity (min/week)</t>
  </si>
  <si>
    <t>Completion %</t>
  </si>
  <si>
    <t>Progress Tracker &amp; Learning Management</t>
  </si>
  <si>
    <t>How to Use This Vault Effectively</t>
  </si>
  <si>
    <t>Not started</t>
  </si>
  <si>
    <t>Serverless URL Shortener</t>
  </si>
  <si>
    <t>Personal File Backup System</t>
  </si>
  <si>
    <t>Secure Notes App</t>
  </si>
  <si>
    <t>Real-Time Log Monitoring Dashboard</t>
  </si>
  <si>
    <t>Automated Resume Website</t>
  </si>
  <si>
    <t>IoT Sensor Data Pipeline</t>
  </si>
  <si>
    <t>Multi-Region Static Website</t>
  </si>
  <si>
    <t>Automated Image Processing</t>
  </si>
  <si>
    <t>Cost Optimization Bot</t>
  </si>
  <si>
    <t>Disaster Recovery Simulation</t>
  </si>
  <si>
    <t>aws-project-vault\project00-start-here\screenshots</t>
  </si>
  <si>
    <t>Score</t>
  </si>
  <si>
    <t>2026-02-23 -- 2:36 -- everything is set up.</t>
  </si>
  <si>
    <t>Create DynamoDB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</si>
</sst>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35"/>
      <color rgb="FFEB575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16CF-FA71-4510-B2CE-909010B84E70}">
  <dimension ref="A1:N15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8" customWidth="1"/>
    <col min="2" max="2" width="12.21875" customWidth="1"/>
    <col min="3" max="3" width="32.109375" customWidth="1"/>
    <col min="4" max="4" width="13.6640625" customWidth="1"/>
    <col min="5" max="5" width="11.6640625" customWidth="1"/>
    <col min="6" max="6" width="14" customWidth="1"/>
    <col min="7" max="7" width="14.33203125" customWidth="1"/>
    <col min="8" max="8" width="16.5546875" customWidth="1"/>
    <col min="9" max="9" width="33.44140625" customWidth="1"/>
    <col min="10" max="10" width="17.109375" customWidth="1"/>
    <col min="11" max="11" width="19.21875" customWidth="1"/>
    <col min="12" max="12" width="2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  <c r="K1" t="s">
        <v>11</v>
      </c>
      <c r="L1" t="s">
        <v>15</v>
      </c>
      <c r="M1" t="s">
        <v>16</v>
      </c>
      <c r="N1" t="s">
        <v>17</v>
      </c>
    </row>
    <row r="2" spans="1:14" x14ac:dyDescent="0.3">
      <c r="A2">
        <v>0</v>
      </c>
      <c r="B2" t="s">
        <v>12</v>
      </c>
      <c r="C2" t="s">
        <v>14</v>
      </c>
      <c r="D2">
        <v>50</v>
      </c>
      <c r="H2" t="s">
        <v>33</v>
      </c>
      <c r="I2" t="s">
        <v>31</v>
      </c>
      <c r="J2">
        <v>100</v>
      </c>
      <c r="L2" s="1" t="str">
        <f>IFERROR("Wk "&amp;TEXT(DATEVALUE(LEFT(H2,10)),"YYYY")&amp;"-"&amp;TEXT(DATEVALUE(LEFT(H2,10)),"WW"),"")</f>
        <v>Wk 2026-WW</v>
      </c>
      <c r="M2" s="1">
        <f ca="1">SUMIFS($D:$D,$H:$H,"&gt;="&amp;TODAY()-14,$H:$H,"&lt;="&amp;TODAY())</f>
        <v>0</v>
      </c>
      <c r="N2">
        <f>IF(COUNTIF($C:$C,"&lt;&gt;")=0,"",COUNTIF($C:$C,"Done")/COUNTIF($C:$C,"&lt;&gt;"))</f>
        <v>0.26666666666666666</v>
      </c>
    </row>
    <row r="3" spans="1:14" x14ac:dyDescent="0.3">
      <c r="A3">
        <v>1</v>
      </c>
      <c r="B3" t="s">
        <v>13</v>
      </c>
      <c r="C3" t="s">
        <v>14</v>
      </c>
      <c r="D3">
        <v>50</v>
      </c>
      <c r="G3" t="s">
        <v>10</v>
      </c>
      <c r="H3" t="s">
        <v>33</v>
      </c>
      <c r="I3" t="s">
        <v>31</v>
      </c>
      <c r="J3">
        <v>100</v>
      </c>
      <c r="L3" s="1" t="str">
        <f>IFERROR("Wk "&amp;TEXT(DATEVALUE(LEFT(H3,10)),"YYYY")&amp;"-"&amp;TEXT(DATEVALUE(LEFT(H3,10)),"WW"),"")</f>
        <v>Wk 2026-WW</v>
      </c>
      <c r="M3" s="1">
        <f ca="1">SUMIFS($D:$D,$H:$H,"&gt;="&amp;TODAY()-14,$H:$H,"&lt;="&amp;TODAY())</f>
        <v>0</v>
      </c>
      <c r="N3">
        <f t="shared" ref="N3:N15" si="0">IF(COUNTIF($C:$C,"&lt;&gt;")=0,"",COUNTIF($C:$C,"Done")/COUNTIF($C:$C,"&lt;&gt;"))</f>
        <v>0.26666666666666666</v>
      </c>
    </row>
    <row r="4" spans="1:14" x14ac:dyDescent="0.3">
      <c r="A4">
        <v>2</v>
      </c>
      <c r="B4" t="s">
        <v>18</v>
      </c>
      <c r="C4" t="s">
        <v>14</v>
      </c>
      <c r="D4">
        <v>30</v>
      </c>
      <c r="H4" t="s">
        <v>33</v>
      </c>
      <c r="I4" t="s">
        <v>31</v>
      </c>
      <c r="J4">
        <v>100</v>
      </c>
      <c r="L4" s="1" t="str">
        <f t="shared" ref="L4:L15" si="1">IFERROR("Wk "&amp;TEXT(DATEVALUE(LEFT(H4,10)),"YYYY")&amp;"-"&amp;TEXT(DATEVALUE(LEFT(H4,10)),"WW"),"")</f>
        <v>Wk 2026-WW</v>
      </c>
      <c r="M4" s="1">
        <f t="shared" ref="M4:M15" ca="1" si="2">SUMIFS($D:$D,$H:$H,"&gt;="&amp;TODAY()-14,$H:$H,"&lt;="&amp;TODAY())</f>
        <v>0</v>
      </c>
      <c r="N4">
        <f t="shared" si="0"/>
        <v>0.26666666666666666</v>
      </c>
    </row>
    <row r="5" spans="1:14" x14ac:dyDescent="0.3">
      <c r="A5">
        <v>3</v>
      </c>
      <c r="B5" t="s">
        <v>19</v>
      </c>
      <c r="C5" t="s">
        <v>14</v>
      </c>
      <c r="D5">
        <v>30</v>
      </c>
      <c r="H5" t="s">
        <v>33</v>
      </c>
      <c r="I5" t="s">
        <v>31</v>
      </c>
      <c r="J5">
        <v>100</v>
      </c>
      <c r="L5" s="1" t="str">
        <f t="shared" si="1"/>
        <v>Wk 2026-WW</v>
      </c>
      <c r="M5" s="1">
        <f t="shared" ca="1" si="2"/>
        <v>0</v>
      </c>
      <c r="N5">
        <f t="shared" si="0"/>
        <v>0.26666666666666666</v>
      </c>
    </row>
    <row r="6" spans="1:14" x14ac:dyDescent="0.3">
      <c r="A6">
        <v>4</v>
      </c>
      <c r="B6" t="s">
        <v>21</v>
      </c>
      <c r="C6" t="s">
        <v>9</v>
      </c>
      <c r="K6" t="s">
        <v>34</v>
      </c>
      <c r="L6" s="1" t="str">
        <f t="shared" si="1"/>
        <v/>
      </c>
      <c r="M6" s="1">
        <f t="shared" ca="1" si="2"/>
        <v>0</v>
      </c>
      <c r="N6">
        <f t="shared" si="0"/>
        <v>0.26666666666666666</v>
      </c>
    </row>
    <row r="7" spans="1:14" x14ac:dyDescent="0.3">
      <c r="A7">
        <v>5</v>
      </c>
      <c r="B7" t="s">
        <v>22</v>
      </c>
      <c r="C7" t="s">
        <v>20</v>
      </c>
      <c r="L7" s="1" t="str">
        <f t="shared" si="1"/>
        <v/>
      </c>
      <c r="M7" s="1">
        <f t="shared" ca="1" si="2"/>
        <v>0</v>
      </c>
      <c r="N7">
        <f t="shared" si="0"/>
        <v>0.26666666666666666</v>
      </c>
    </row>
    <row r="8" spans="1:14" x14ac:dyDescent="0.3">
      <c r="A8">
        <v>6</v>
      </c>
      <c r="B8" t="s">
        <v>23</v>
      </c>
      <c r="C8" t="s">
        <v>20</v>
      </c>
      <c r="L8" s="1" t="str">
        <f t="shared" si="1"/>
        <v/>
      </c>
      <c r="M8" s="1">
        <f t="shared" ca="1" si="2"/>
        <v>0</v>
      </c>
      <c r="N8">
        <f t="shared" si="0"/>
        <v>0.26666666666666666</v>
      </c>
    </row>
    <row r="9" spans="1:14" x14ac:dyDescent="0.3">
      <c r="A9">
        <v>7</v>
      </c>
      <c r="B9" t="s">
        <v>24</v>
      </c>
      <c r="C9" t="s">
        <v>20</v>
      </c>
      <c r="L9" s="1" t="str">
        <f t="shared" si="1"/>
        <v/>
      </c>
      <c r="M9" s="1">
        <f t="shared" ca="1" si="2"/>
        <v>0</v>
      </c>
      <c r="N9">
        <f t="shared" si="0"/>
        <v>0.26666666666666666</v>
      </c>
    </row>
    <row r="10" spans="1:14" x14ac:dyDescent="0.3">
      <c r="A10">
        <v>8</v>
      </c>
      <c r="B10" t="s">
        <v>25</v>
      </c>
      <c r="C10" t="s">
        <v>20</v>
      </c>
      <c r="L10" s="1" t="str">
        <f t="shared" si="1"/>
        <v/>
      </c>
      <c r="M10" s="1">
        <f t="shared" ca="1" si="2"/>
        <v>0</v>
      </c>
      <c r="N10">
        <f t="shared" si="0"/>
        <v>0.26666666666666666</v>
      </c>
    </row>
    <row r="11" spans="1:14" x14ac:dyDescent="0.3">
      <c r="A11">
        <v>9</v>
      </c>
      <c r="B11" t="s">
        <v>26</v>
      </c>
      <c r="C11" t="s">
        <v>20</v>
      </c>
      <c r="L11" s="1" t="str">
        <f t="shared" si="1"/>
        <v/>
      </c>
      <c r="M11" s="1">
        <f t="shared" ca="1" si="2"/>
        <v>0</v>
      </c>
      <c r="N11">
        <f t="shared" si="0"/>
        <v>0.26666666666666666</v>
      </c>
    </row>
    <row r="12" spans="1:14" x14ac:dyDescent="0.3">
      <c r="A12">
        <v>10</v>
      </c>
      <c r="B12" t="s">
        <v>27</v>
      </c>
      <c r="C12" t="s">
        <v>20</v>
      </c>
      <c r="L12" s="1" t="str">
        <f t="shared" si="1"/>
        <v/>
      </c>
      <c r="M12" s="1">
        <f t="shared" ca="1" si="2"/>
        <v>0</v>
      </c>
      <c r="N12">
        <f t="shared" si="0"/>
        <v>0.26666666666666666</v>
      </c>
    </row>
    <row r="13" spans="1:14" x14ac:dyDescent="0.3">
      <c r="A13">
        <v>11</v>
      </c>
      <c r="B13" t="s">
        <v>28</v>
      </c>
      <c r="C13" t="s">
        <v>20</v>
      </c>
      <c r="L13" s="1" t="str">
        <f t="shared" si="1"/>
        <v/>
      </c>
      <c r="M13" s="1">
        <f t="shared" ca="1" si="2"/>
        <v>0</v>
      </c>
      <c r="N13">
        <f t="shared" si="0"/>
        <v>0.26666666666666666</v>
      </c>
    </row>
    <row r="14" spans="1:14" x14ac:dyDescent="0.3">
      <c r="A14">
        <v>12</v>
      </c>
      <c r="B14" t="s">
        <v>29</v>
      </c>
      <c r="C14" t="s">
        <v>20</v>
      </c>
      <c r="L14" s="1" t="str">
        <f t="shared" si="1"/>
        <v/>
      </c>
      <c r="M14" s="1">
        <f t="shared" ca="1" si="2"/>
        <v>0</v>
      </c>
      <c r="N14">
        <f t="shared" si="0"/>
        <v>0.26666666666666666</v>
      </c>
    </row>
    <row r="15" spans="1:14" x14ac:dyDescent="0.3">
      <c r="A15">
        <v>13</v>
      </c>
      <c r="B15" t="s">
        <v>30</v>
      </c>
      <c r="C15" t="s">
        <v>20</v>
      </c>
      <c r="L15" s="1" t="str">
        <f t="shared" si="1"/>
        <v/>
      </c>
      <c r="M15" s="1">
        <f t="shared" ca="1" si="2"/>
        <v>0</v>
      </c>
      <c r="N15">
        <f t="shared" si="0"/>
        <v>0.26666666666666666</v>
      </c>
    </row>
  </sheetData>
  <dataValidations count="1">
    <dataValidation type="list" allowBlank="1" showInputMessage="1" showErrorMessage="1" sqref="C2:C15" xr:uid="{209531A9-0B50-4602-9185-0821BA45A4F3}">
      <formula1>"Not started,In Progress,Blocked,Done"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Rappaport</dc:creator>
  <cp:lastModifiedBy>Joshua Rappaport</cp:lastModifiedBy>
  <dcterms:created xsi:type="dcterms:W3CDTF">2026-02-23T19:21:32Z</dcterms:created>
  <dcterms:modified xsi:type="dcterms:W3CDTF">2026-02-23T20:29:59Z</dcterms:modified>
</cp:coreProperties>
</file>